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511AAD0B-1BFD-4E8F-AA2E-5DB88767CF31}" xr6:coauthVersionLast="45" xr6:coauthVersionMax="45" xr10:uidLastSave="{00000000-0000-0000-0000-000000000000}"/>
  <bookViews>
    <workbookView xWindow="-108" yWindow="-108" windowWidth="23256" windowHeight="12576" tabRatio="881" xr2:uid="{4746F1DF-C824-4BD6-9B95-9A2609FA9E7F}"/>
  </bookViews>
  <sheets>
    <sheet name="meta" sheetId="18" r:id="rId1"/>
    <sheet name="Membr 45" sheetId="22" r:id="rId2"/>
    <sheet name="Membr 55" sheetId="21" r:id="rId3"/>
    <sheet name="Membr 60" sheetId="20" r:id="rId4"/>
    <sheet name="Membr 95" sheetId="19" r:id="rId5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2" l="1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sharedStrings.xml><?xml version="1.0" encoding="utf-8"?>
<sst xmlns="http://schemas.openxmlformats.org/spreadsheetml/2006/main" count="354" uniqueCount="99">
  <si>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</si>
  <si>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</si>
  <si>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</si>
  <si>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</si>
  <si>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</si>
  <si>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</si>
  <si>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</si>
  <si>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</si>
  <si>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 xml:space="preserve">Dev L3 Support </t>
  </si>
  <si>
    <t>Critical Issue, Customer Escalation/Enquiries</t>
  </si>
  <si>
    <t>Iteration #</t>
  </si>
  <si>
    <t>Compliance</t>
  </si>
  <si>
    <t>Industry Compliance &amp; Infrastructure Upgrade</t>
  </si>
  <si>
    <t>JAVA,  Database, PerfMeter, Autoconfx Upgrades</t>
  </si>
  <si>
    <t>Month</t>
  </si>
  <si>
    <t>Functional Testing</t>
  </si>
  <si>
    <t>Functional Regression Testing</t>
  </si>
  <si>
    <t>Scope Impact Testing, GUI Testing, Exploratory Testing</t>
  </si>
  <si>
    <t>Iteration Start Date</t>
  </si>
  <si>
    <t>Perf Mgmt.</t>
  </si>
  <si>
    <t>Performance Validation</t>
  </si>
  <si>
    <t>Benchmarking, Archiving, Landscaping, Sizing</t>
  </si>
  <si>
    <t xml:space="preserve">Iteration Length in Days </t>
  </si>
  <si>
    <t>Recon Mgmt.</t>
  </si>
  <si>
    <t>Reconciliation</t>
  </si>
  <si>
    <t>Env Mgmt., DB Mgmt., Infrastructure Mgmt.</t>
  </si>
  <si>
    <t>Inst Mgmt.</t>
  </si>
  <si>
    <t>Installation Validation</t>
  </si>
  <si>
    <t>Solution Deployment, YML File Mgmt.</t>
  </si>
  <si>
    <t>Release Mgmt.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</si>
  <si>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</si>
  <si>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</si>
  <si>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</si>
  <si>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</si>
  <si>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</si>
  <si>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</si>
  <si>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</si>
  <si>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One Click Release, WTA, TVS - TVS Recon, Perf Diagnostic, Quality Assistant</t>
  </si>
  <si>
    <t>DevOps Mgmt.</t>
  </si>
  <si>
    <t>DevOps Management</t>
  </si>
  <si>
    <t>Dev, UAT Env Mgmt., Infrastructure Mgmt., DC transfer, AWS, KPI and Management Reporting Effort</t>
  </si>
  <si>
    <t>Stop &amp; Fix</t>
  </si>
  <si>
    <t>Address test Failures, Bugs</t>
  </si>
  <si>
    <t>L &amp; D</t>
  </si>
  <si>
    <t>L&amp;D</t>
  </si>
  <si>
    <t>Learning Objectives, trainings, webinars</t>
  </si>
  <si>
    <t>Others</t>
  </si>
  <si>
    <t>Estimates, Townhalls, Mgmt. Meeting, Recruitment. everything else</t>
  </si>
  <si>
    <t>Billable</t>
  </si>
  <si>
    <t>PS &amp; Sales Support</t>
  </si>
  <si>
    <t>PS Projects, Technical Consulting, Customer Projects, Customer Demo</t>
  </si>
  <si>
    <t>Roadmap FE</t>
  </si>
  <si>
    <t xml:space="preserve">Functional Evolution </t>
  </si>
  <si>
    <t>Roadmap or Paid: PBR, Design, Coding, Unit Testing, POC, Analysis, Spikes, Robot, WTA, Portable Tests</t>
  </si>
  <si>
    <t>R &amp; D</t>
  </si>
  <si>
    <t>R&amp;D</t>
  </si>
  <si>
    <t>Containerization</t>
  </si>
  <si>
    <t>Scrum/Kanban Meetings</t>
  </si>
  <si>
    <t>Iteration Planning, Daily Stand-up, Iteration Review, Iteration Retrospective</t>
  </si>
  <si>
    <t>Leaves</t>
  </si>
  <si>
    <t>Bank Holidays, Personal Leaves excluding weekends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</si>
  <si>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</si>
  <si>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</si>
  <si>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</si>
  <si>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</si>
  <si>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</si>
  <si>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</si>
  <si>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</si>
  <si>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</si>
  <si>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</si>
  <si>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</si>
  <si>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</si>
  <si>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</si>
  <si>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</si>
  <si>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</si>
  <si>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</si>
  <si>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</si>
  <si>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</si>
  <si>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</si>
  <si>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</si>
  <si>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</si>
  <si>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</si>
  <si>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</si>
  <si>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</si>
  <si>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</si>
  <si>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</si>
  <si>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</si>
  <si>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</si>
  <si>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</si>
  <si>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</si>
  <si>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</si>
  <si>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</si>
  <si>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</si>
  <si>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Day Total</t>
  </si>
  <si>
    <t>WS1 A2</t>
  </si>
  <si>
    <t>Membr 45</t>
  </si>
  <si>
    <t>Membr 55</t>
  </si>
  <si>
    <t>Membr 60</t>
  </si>
  <si>
    <t>Membr 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</si>
</sst>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12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14487D-14AB-447B-83F6-94D345C8F440}" name="Deepak Agarwal_tbl" displayName="Deepak_Agarwal_tbl" ref="A1:AH19" totalsRowShown="0" headerRowDxfId="11">
  <autoFilter ref="A1:AH19" xr:uid="{5747F443-F640-4C7D-98B6-CFCCC3D4479D}"/>
  <tableColumns count="34">
    <tableColumn id="1" xr3:uid="{58B3EEF8-1E8A-469F-A6C1-3CB4C9DB2CAA}" name="Column1">
      <calculatedColumnFormula>SUM(D2:AH2)</calculatedColumnFormula>
    </tableColumn>
    <tableColumn id="2" xr3:uid="{578CA07F-8A2C-4585-BEEB-1FD88A4B82DF}" name="Activity" dataDxfId="10"/>
    <tableColumn id="3" xr3:uid="{4846F2C1-86C9-4715-81D4-94F78F4F2777}" name="Examples" dataDxfId="9"/>
    <tableColumn id="4" xr3:uid="{8851B3BC-2206-429D-B134-C86DF8BF4E6C}" name="1-Aug"/>
    <tableColumn id="5" xr3:uid="{BA99FDA8-35F8-48A6-A951-7CEB7DB4F6F3}" name="2-Aug"/>
    <tableColumn id="6" xr3:uid="{A7E3E56E-EA87-44C4-8AA6-C3AD4CE2F140}" name="3-Aug"/>
    <tableColumn id="7" xr3:uid="{BA598846-8A5D-4D7E-A566-DA60B81A9CE7}" name="4-Aug"/>
    <tableColumn id="8" xr3:uid="{8108382C-6463-4E16-9929-6B22806022EC}" name="5-Aug"/>
    <tableColumn id="9" xr3:uid="{E0468AB6-7645-42B2-B269-89CC659D9BA0}" name="6-Aug"/>
    <tableColumn id="10" xr3:uid="{0DC04757-9FCC-41A3-9A12-3B838A99CAA5}" name="7-Aug"/>
    <tableColumn id="11" xr3:uid="{0E664D81-E12C-4330-A2E9-4CD901ADBA93}" name="8-Aug"/>
    <tableColumn id="12" xr3:uid="{B96DE120-0B18-45ED-817E-F6F0923539F7}" name="9-Aug"/>
    <tableColumn id="13" xr3:uid="{C327C994-F12C-455E-B9AF-06C7D3BDB177}" name="10-Aug"/>
    <tableColumn id="14" xr3:uid="{39A35B61-A348-497D-9D6E-AF1F08C44E9F}" name="11-Aug"/>
    <tableColumn id="15" xr3:uid="{0342F93F-9BE6-41FE-8949-F0D9EE6450F8}" name="12-Aug"/>
    <tableColumn id="16" xr3:uid="{B8EACC27-2C7D-4AC1-9E46-D90D6F27AF94}" name="13-Aug"/>
    <tableColumn id="17" xr3:uid="{CB22442C-7EA9-47E0-B955-F930EE011CF2}" name="14-Aug"/>
    <tableColumn id="18" xr3:uid="{08DEEB31-5E74-4A98-B132-09D40D0D5C98}" name="15-Aug"/>
    <tableColumn id="19" xr3:uid="{6382943D-8682-4F4C-AB16-28AB2AB361E2}" name="16-Aug"/>
    <tableColumn id="20" xr3:uid="{46201CBA-FF3B-4DAD-A91A-CACDC867AEC0}" name="17-Aug"/>
    <tableColumn id="21" xr3:uid="{35AB179F-B4B6-4312-83D5-D883DC1C3703}" name="18-Aug"/>
    <tableColumn id="22" xr3:uid="{C1DB6D91-E2EA-4A26-BA31-5CFF7934427A}" name="19-Aug"/>
    <tableColumn id="23" xr3:uid="{D50EA72E-4048-4FF4-9008-C682EE5406C6}" name="20-Aug"/>
    <tableColumn id="24" xr3:uid="{ED3731C0-C901-45DC-9BF5-AB99EED9BD48}" name="21-Aug"/>
    <tableColumn id="25" xr3:uid="{FDFDAF4B-C856-4785-B862-A163A62C8658}" name="22-Aug"/>
    <tableColumn id="26" xr3:uid="{6A6C1B47-2C86-4C2D-AB8E-23BCC3279BCC}" name="23-Aug"/>
    <tableColumn id="27" xr3:uid="{17510799-CB53-42FD-BA20-3858E4AC9ACE}" name="24-Aug"/>
    <tableColumn id="28" xr3:uid="{18E72523-E284-4018-8E91-128EFABF9F24}" name="25-Aug"/>
    <tableColumn id="29" xr3:uid="{8236AB17-0BD7-495D-8636-17E3A3AC1860}" name="26-Aug"/>
    <tableColumn id="30" xr3:uid="{D3DFA52C-F6D6-478C-9C8A-30B6B61B0CAA}" name="27-Aug"/>
    <tableColumn id="31" xr3:uid="{4F6DD3B9-960E-42B4-9C01-4A77197C6374}" name="28-Aug"/>
    <tableColumn id="32" xr3:uid="{5BEF189A-EC44-499F-B6EF-C673E92B1CA4}" name="29-Aug"/>
    <tableColumn id="33" xr3:uid="{8C8F6496-680B-4B51-A5C6-DEF6A7008556}" name="30-Aug"/>
    <tableColumn id="34" xr3:uid="{20750972-8F8C-48DB-9806-FC8DD3FE6034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0D91F3-EC7D-46A7-BB51-77BD010E0C01}" name="Gurpreet Kaur_tbl" displayName="Gurpreet_Kaur_tbl" ref="A1:AH19" totalsRowShown="0" headerRowDxfId="8">
  <autoFilter ref="A1:AH19" xr:uid="{CC4C2F41-9EB7-491F-B8D1-DC5D97DDCCB6}"/>
  <tableColumns count="34">
    <tableColumn id="1" xr3:uid="{591E36D3-3592-4117-B26A-45C6D6D4B4F4}" name="Column1">
      <calculatedColumnFormula>SUM(D2:AH2)</calculatedColumnFormula>
    </tableColumn>
    <tableColumn id="2" xr3:uid="{D96F6E90-E7A3-4CFC-9B09-8FD78D16B557}" name="Activity" dataDxfId="7"/>
    <tableColumn id="3" xr3:uid="{66239C5A-9B9B-42EB-850F-9909D3AAE246}" name="Examples" dataDxfId="6"/>
    <tableColumn id="4" xr3:uid="{09EA09C1-56E6-4865-93CA-ED03777800DA}" name="1-Aug"/>
    <tableColumn id="5" xr3:uid="{192B97D7-1A1C-4921-8A14-863740D54C24}" name="2-Aug"/>
    <tableColumn id="6" xr3:uid="{81D4C8D8-26B3-4F14-9D80-B13C8877FFCE}" name="3-Aug"/>
    <tableColumn id="7" xr3:uid="{A059B76A-BCBB-4E12-B0D1-BD50393061E0}" name="4-Aug"/>
    <tableColumn id="8" xr3:uid="{20FA26B0-FE07-4B8F-8573-DC66B0B2F2BC}" name="5-Aug"/>
    <tableColumn id="9" xr3:uid="{F3D1AA07-87C7-477B-AD07-44A31CB795D1}" name="6-Aug"/>
    <tableColumn id="10" xr3:uid="{CD3ACF43-F587-4829-B5ED-4835D54D1283}" name="7-Aug"/>
    <tableColumn id="11" xr3:uid="{F2ACECE4-D879-4D13-B8E9-B55A896964B6}" name="8-Aug"/>
    <tableColumn id="12" xr3:uid="{E6A4790A-A088-4FBA-B184-97362739AE81}" name="9-Aug"/>
    <tableColumn id="13" xr3:uid="{2E91876A-A99C-4CA3-9189-4CD4C63A2FFA}" name="10-Aug"/>
    <tableColumn id="14" xr3:uid="{873B2BE4-E8D3-4122-B4E3-DFA8666A38C9}" name="11-Aug"/>
    <tableColumn id="15" xr3:uid="{2CEA09F5-E7E9-496C-9143-462C2B131C7E}" name="12-Aug"/>
    <tableColumn id="16" xr3:uid="{6C507B25-CBBC-4EE8-B95F-9E856CB00430}" name="13-Aug"/>
    <tableColumn id="17" xr3:uid="{B8B8E89D-C09E-4DA6-901D-B2CF3D4E53C1}" name="14-Aug"/>
    <tableColumn id="18" xr3:uid="{3FB02B7B-889B-48EC-B63A-3DE36763DFD3}" name="15-Aug"/>
    <tableColumn id="19" xr3:uid="{7E3CC1B9-D3DA-4066-9C42-819558EDC42D}" name="16-Aug"/>
    <tableColumn id="20" xr3:uid="{09A360C1-A0E9-4ADD-9BC2-D0A71D1CD7E8}" name="17-Aug"/>
    <tableColumn id="21" xr3:uid="{2173B722-FB76-42E1-B4DE-3DAD6B20B6FF}" name="18-Aug"/>
    <tableColumn id="22" xr3:uid="{2EB1D958-5BB4-411A-89A6-E2D56282DCEE}" name="19-Aug"/>
    <tableColumn id="23" xr3:uid="{78E162F3-3755-41D1-A3F5-3232F2FA193F}" name="20-Aug"/>
    <tableColumn id="24" xr3:uid="{2EB5FDC0-5B46-4168-9738-9A5E9C280657}" name="21-Aug"/>
    <tableColumn id="25" xr3:uid="{66618405-9759-4F9C-B722-CAF310F87763}" name="22-Aug"/>
    <tableColumn id="26" xr3:uid="{478431CB-87AF-4CE5-BA62-657EED16A1A0}" name="23-Aug"/>
    <tableColumn id="27" xr3:uid="{0420E075-0641-4A1A-B9B1-6D5411262395}" name="24-Aug"/>
    <tableColumn id="28" xr3:uid="{4168E5FB-27C2-4A3B-AD22-8BE8EBD2E995}" name="25-Aug"/>
    <tableColumn id="29" xr3:uid="{07EB41CD-8474-41B9-B7D8-B471B315FAA5}" name="26-Aug"/>
    <tableColumn id="30" xr3:uid="{EBDD70BB-1AC1-4130-847C-D259971ED067}" name="27-Aug"/>
    <tableColumn id="31" xr3:uid="{9E067DA4-39A1-4DBD-A710-E93F8C3661EB}" name="28-Aug"/>
    <tableColumn id="32" xr3:uid="{451A6BA8-211D-4A42-829F-23FA34ED9B2F}" name="29-Aug"/>
    <tableColumn id="33" xr3:uid="{BCC9A19A-69B6-48FB-A28D-CB278EF029BE}" name="30-Aug"/>
    <tableColumn id="34" xr3:uid="{340498A7-7473-42D3-9492-B2D8BBF80C3B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A1FAF2-4B07-4041-881F-4923017B65E2}" name="Jatin Adwani_tbl" displayName="Jatin_Adwani_tbl" ref="A1:AH19" totalsRowShown="0" headerRowDxfId="5">
  <autoFilter ref="A1:AH19" xr:uid="{2637CBD1-73B0-46BC-B22A-3601969ADB9F}"/>
  <tableColumns count="34">
    <tableColumn id="1" xr3:uid="{10E42A84-FB00-49A0-8D43-F4F33B1F464F}" name="Column1">
      <calculatedColumnFormula>SUM(D2:AH2)</calculatedColumnFormula>
    </tableColumn>
    <tableColumn id="2" xr3:uid="{7553AE04-1146-4154-B718-510C80D7CFE9}" name="Activity" dataDxfId="4"/>
    <tableColumn id="3" xr3:uid="{0818A171-FB49-4115-8E01-2CEA24C94BA1}" name="Examples" dataDxfId="3"/>
    <tableColumn id="4" xr3:uid="{C5E8E563-3793-41D1-BC74-AC8AEED741E5}" name="1-Aug"/>
    <tableColumn id="5" xr3:uid="{6790B0B5-524A-45A6-ADF7-4B7FEFA0DDB5}" name="2-Aug"/>
    <tableColumn id="6" xr3:uid="{9870FA2C-8F41-4CAE-98C9-D729313BC384}" name="3-Aug"/>
    <tableColumn id="7" xr3:uid="{BB26DAC9-1F62-4207-8551-2252A4C29E66}" name="4-Aug"/>
    <tableColumn id="8" xr3:uid="{FA5D9AE6-413E-4AC6-BAB5-1E18D7AED3D8}" name="5-Aug"/>
    <tableColumn id="9" xr3:uid="{05DC2EC1-EA65-4431-8AC7-142C115176BB}" name="6-Aug"/>
    <tableColumn id="10" xr3:uid="{FA8FD377-77C0-4EE0-8D8B-936EC23103F5}" name="7-Aug"/>
    <tableColumn id="11" xr3:uid="{5C01269B-8F91-4C3A-9E00-4659B8AD376F}" name="8-Aug"/>
    <tableColumn id="12" xr3:uid="{64744684-5A57-4C12-8B08-79FAA5FB79CB}" name="9-Aug"/>
    <tableColumn id="13" xr3:uid="{C59670B6-C06A-403D-BD44-9AC21F7E3251}" name="10-Aug"/>
    <tableColumn id="14" xr3:uid="{BA9E952E-320E-479B-9D7D-6AA8B9BE9887}" name="11-Aug"/>
    <tableColumn id="15" xr3:uid="{EE731986-C0AC-427D-ABCA-6CD0EC685495}" name="12-Aug"/>
    <tableColumn id="16" xr3:uid="{2CE98F0E-6E35-4E3C-9E09-ABB2C52C6ABC}" name="13-Aug"/>
    <tableColumn id="17" xr3:uid="{1519277F-2CCD-4A0A-B860-3C7221874329}" name="14-Aug"/>
    <tableColumn id="18" xr3:uid="{C58590F3-457F-4923-B76A-0B2B5D92B2AC}" name="15-Aug"/>
    <tableColumn id="19" xr3:uid="{FFEB0372-9BB0-4786-B70F-CC308B188C2F}" name="16-Aug"/>
    <tableColumn id="20" xr3:uid="{00921BB2-BC7F-4152-A191-52C7902C25EA}" name="17-Aug"/>
    <tableColumn id="21" xr3:uid="{0FCC1B0C-B372-423D-AA5F-CA11B62718D7}" name="18-Aug"/>
    <tableColumn id="22" xr3:uid="{064BCD84-22CC-49AC-812F-D2DCBF4CFC99}" name="19-Aug"/>
    <tableColumn id="23" xr3:uid="{F5B79FC1-AA2E-4EA7-AFEE-37D40743861B}" name="20-Aug"/>
    <tableColumn id="24" xr3:uid="{F3501347-36DD-47D4-842D-E164CF3BA9F9}" name="21-Aug"/>
    <tableColumn id="25" xr3:uid="{3BAF7A58-DA84-4122-9331-D2E772CDBB5D}" name="22-Aug"/>
    <tableColumn id="26" xr3:uid="{31D5B8F2-00BB-4076-9FF2-210C31238326}" name="23-Aug"/>
    <tableColumn id="27" xr3:uid="{F49044A8-A7F5-45AF-A9D7-5835F23CD594}" name="24-Aug"/>
    <tableColumn id="28" xr3:uid="{62276C10-2A34-405A-9A95-76CCE3ED23B1}" name="25-Aug"/>
    <tableColumn id="29" xr3:uid="{05E8DA7F-F419-4004-B143-85A026C9A264}" name="26-Aug"/>
    <tableColumn id="30" xr3:uid="{A22F517B-0565-4918-83CD-67AB2D024E3E}" name="27-Aug"/>
    <tableColumn id="31" xr3:uid="{456DE830-7D6F-43A0-8AAB-3CDE5C6D007B}" name="28-Aug"/>
    <tableColumn id="32" xr3:uid="{0A066BC9-2CD3-4160-82F9-373A43782EF0}" name="29-Aug"/>
    <tableColumn id="33" xr3:uid="{BB3AC05A-FE23-4AE7-9A43-7E1E4A76ED0A}" name="30-Aug"/>
    <tableColumn id="34" xr3:uid="{6B151716-1053-4A0F-814B-D2DCFDE967BD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B576B-8A99-4ADD-B5F3-731982F36D10}" name="Rahul Savale_tbl" displayName="Rahul_Savale_tbl" ref="A1:AH19" totalsRowShown="0" headerRowDxfId="2">
  <autoFilter ref="A1:AH19" xr:uid="{E9F4A1EB-5C8F-45A8-9F5B-20D9EC99DC68}"/>
  <tableColumns count="34">
    <tableColumn id="1" xr3:uid="{F2FCF181-7111-4BDF-AB8E-72C5A56B3FEF}" name="Column1">
      <calculatedColumnFormula>SUM(D2:AH2)</calculatedColumnFormula>
    </tableColumn>
    <tableColumn id="2" xr3:uid="{B174512F-28CA-49B0-A9AA-023A0874ED14}" name="Activity" dataDxfId="1"/>
    <tableColumn id="3" xr3:uid="{A5A9F614-AB28-4BBA-AAAB-824C141C3C3C}" name="Examples" dataDxfId="0"/>
    <tableColumn id="4" xr3:uid="{8583ECCE-56FE-4296-9B6E-01708F9D34C9}" name="1-Aug"/>
    <tableColumn id="5" xr3:uid="{7E1ED80D-D980-4AB2-A0CF-38E6C2099225}" name="2-Aug"/>
    <tableColumn id="6" xr3:uid="{1D24D428-AC0A-456A-B7C7-B4B3A741766C}" name="3-Aug"/>
    <tableColumn id="7" xr3:uid="{0FBC0E33-4129-41D3-84B9-6108BC52C9A9}" name="4-Aug"/>
    <tableColumn id="8" xr3:uid="{3E0983D4-7890-4113-BD05-D586DC3A26AB}" name="5-Aug"/>
    <tableColumn id="9" xr3:uid="{5836213F-550B-4F13-8174-27AE6A04B6F3}" name="6-Aug"/>
    <tableColumn id="10" xr3:uid="{9C709152-0CC8-4214-A4F8-2D94E639DF8B}" name="7-Aug"/>
    <tableColumn id="11" xr3:uid="{DFDA1323-5A7B-43E0-8469-6325A3E013E9}" name="8-Aug"/>
    <tableColumn id="12" xr3:uid="{1EE43548-E534-453A-AB74-430E8C0F8BD1}" name="9-Aug"/>
    <tableColumn id="13" xr3:uid="{13382882-C80E-4491-B533-419BCEEB36E8}" name="10-Aug"/>
    <tableColumn id="14" xr3:uid="{7F4D4BE9-5566-4331-9991-03D1BC7A3C0E}" name="11-Aug"/>
    <tableColumn id="15" xr3:uid="{6B47D4D1-AA5C-4189-AB7D-0F20F5045030}" name="12-Aug"/>
    <tableColumn id="16" xr3:uid="{38CCD7EC-6EB3-407F-803F-A520480DE138}" name="13-Aug"/>
    <tableColumn id="17" xr3:uid="{88932437-BEBE-44CE-8928-FF8C4F70A6BC}" name="14-Aug"/>
    <tableColumn id="18" xr3:uid="{B7BF157D-4F5D-4138-9F91-7A28BA5D3237}" name="15-Aug"/>
    <tableColumn id="19" xr3:uid="{A61BBE1E-0174-46D7-A810-2C452F45C702}" name="16-Aug"/>
    <tableColumn id="20" xr3:uid="{D948D810-F95D-435D-96DC-8BB96AB6FEBD}" name="17-Aug"/>
    <tableColumn id="21" xr3:uid="{7F172065-D729-476A-92CA-09947F53E182}" name="18-Aug"/>
    <tableColumn id="22" xr3:uid="{0F7F626E-BC58-4C05-A49E-2EF47171F03D}" name="19-Aug"/>
    <tableColumn id="23" xr3:uid="{D6B7C962-C947-42D5-BC50-43547001F7E8}" name="20-Aug"/>
    <tableColumn id="24" xr3:uid="{B740EC14-42D7-499D-91C2-E2CC07CD3CF5}" name="21-Aug"/>
    <tableColumn id="25" xr3:uid="{BF226412-78E1-49E1-A48F-0256BF3541F6}" name="22-Aug"/>
    <tableColumn id="26" xr3:uid="{154D7F78-6DE9-489F-AC6B-B6B5789CC1A0}" name="23-Aug"/>
    <tableColumn id="27" xr3:uid="{101E4C8C-9DFD-4C56-A1AA-DE43DB5294AD}" name="24-Aug"/>
    <tableColumn id="28" xr3:uid="{20057395-860F-4D42-BCF1-73A63EE0DF1A}" name="25-Aug"/>
    <tableColumn id="29" xr3:uid="{7659F1E0-4BCF-4BEC-9067-C84CD8784CA1}" name="26-Aug"/>
    <tableColumn id="30" xr3:uid="{35041FE5-AE1A-4FE5-A339-D162C9D3A538}" name="27-Aug"/>
    <tableColumn id="31" xr3:uid="{5DD6903F-2DB0-4704-87A0-8F2700B0BEC0}" name="28-Aug"/>
    <tableColumn id="32" xr3:uid="{1FD9CA5D-C9FB-4A92-9BD2-2F79155AFC09}" name="29-Aug"/>
    <tableColumn id="33" xr3:uid="{BD08D1DA-1340-4915-B465-1795B46C05CE}" name="30-Aug"/>
    <tableColumn id="34" xr3:uid="{6C88D139-6D2C-4419-BC60-CCF62B68A429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tabSelected="1" workbookViewId="0">
      <pane xSplit="8" ySplit="11" topLeftCell="U12" activePane="bottomRight" state="frozen"/>
      <selection pane="topRight" activeCell="G2" sqref="G2"/>
      <selection pane="bottomLeft" activeCell="G2" sqref="G2"/>
      <selection pane="bottomRight" activeCell="C19" sqref="C19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44140625" style="1" customWidth="1"/>
    <col min="10" max="12" width="11.44140625" style="1" customWidth="1"/>
    <col min="13" max="16384" width="8.88671875" style="1"/>
  </cols>
  <sheetData>
    <row r="1" spans="1:8" x14ac:dyDescent="0.3">
      <c r="A1" s="27"/>
      <c r="B1" s="27"/>
      <c r="C1" s="27"/>
      <c r="D1" s="27"/>
      <c r="E1" s="27"/>
      <c r="F1" s="27"/>
      <c r="G1" s="27"/>
      <c r="H1" s="27"/>
    </row>
    <row r="2" spans="1:8" x14ac:dyDescent="0.3">
      <c r="A2" s="27"/>
      <c r="B2" s="27"/>
      <c r="C2" s="27"/>
      <c r="D2" s="27"/>
      <c r="E2" s="27"/>
      <c r="F2" s="27"/>
      <c r="G2" s="27"/>
      <c r="H2" s="27"/>
    </row>
    <row r="3" spans="1:8" x14ac:dyDescent="0.3">
      <c r="A3" s="27"/>
      <c r="B3" s="27"/>
      <c r="C3" s="27"/>
      <c r="D3" s="27"/>
      <c r="E3" s="27"/>
      <c r="F3" s="27"/>
      <c r="G3" s="27"/>
      <c r="H3" s="27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27"/>
      <c r="B5" s="27"/>
      <c r="C5" s="27"/>
      <c r="D5" s="27"/>
      <c r="E5" s="27"/>
      <c r="F5" s="27"/>
      <c r="G5" s="27"/>
      <c r="H5" s="27"/>
    </row>
    <row r="6" spans="1:8" x14ac:dyDescent="0.3">
      <c r="A6" s="27"/>
      <c r="B6" s="27"/>
      <c r="C6" s="27"/>
      <c r="D6" s="27"/>
      <c r="E6" s="27"/>
      <c r="F6" s="27"/>
      <c r="G6" s="27"/>
      <c r="H6" s="27"/>
    </row>
    <row r="7" spans="1:8" x14ac:dyDescent="0.3">
      <c r="A7" s="27"/>
      <c r="B7" s="27"/>
      <c r="C7" s="27"/>
      <c r="D7" s="27"/>
      <c r="E7" s="27"/>
      <c r="F7" s="27"/>
      <c r="G7" s="27"/>
      <c r="H7" s="27"/>
    </row>
    <row r="8" spans="1:8" x14ac:dyDescent="0.3">
      <c r="A8" s="27"/>
      <c r="B8" s="27"/>
      <c r="C8" s="27"/>
      <c r="D8" s="27"/>
      <c r="E8" s="27"/>
      <c r="F8" s="27"/>
      <c r="G8" s="27"/>
      <c r="H8" s="27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8</v>
      </c>
      <c r="H12" s="8" t="s">
        <v>9</v>
      </c>
    </row>
    <row r="13" spans="1:8" s="4" customFormat="1" ht="31.8" thickBot="1" x14ac:dyDescent="0.35">
      <c r="A13" s="6" t="s">
        <v>10</v>
      </c>
      <c r="B13" s="19">
        <v>1</v>
      </c>
      <c r="D13" s="19" t="s">
        <v>96</v>
      </c>
      <c r="F13" s="14" t="s">
        <v>11</v>
      </c>
      <c r="G13" s="18" t="s">
        <v>12</v>
      </c>
      <c r="H13" s="9" t="s">
        <v>13</v>
      </c>
    </row>
    <row r="14" spans="1:8" s="4" customFormat="1" ht="16.2" thickBot="1" x14ac:dyDescent="0.35">
      <c r="A14" s="6" t="s">
        <v>14</v>
      </c>
      <c r="B14" s="20">
        <v>44044</v>
      </c>
      <c r="D14" s="19" t="s">
        <v>97</v>
      </c>
      <c r="F14" s="15" t="s">
        <v>15</v>
      </c>
      <c r="G14" s="15" t="s">
        <v>16</v>
      </c>
      <c r="H14" s="10" t="s">
        <v>17</v>
      </c>
    </row>
    <row r="15" spans="1:8" s="4" customFormat="1" ht="16.2" thickBot="1" x14ac:dyDescent="0.35">
      <c r="A15" s="6" t="s">
        <v>18</v>
      </c>
      <c r="B15" s="24">
        <v>44044</v>
      </c>
      <c r="D15" s="19" t="s">
        <v>98</v>
      </c>
      <c r="F15" s="15" t="s">
        <v>19</v>
      </c>
      <c r="G15" s="15" t="s">
        <v>20</v>
      </c>
      <c r="H15" s="10" t="s">
        <v>21</v>
      </c>
    </row>
    <row r="16" spans="1:8" s="4" customFormat="1" ht="16.2" thickBot="1" x14ac:dyDescent="0.35">
      <c r="A16" s="6" t="s">
        <v>22</v>
      </c>
      <c r="B16" s="19">
        <v>31</v>
      </c>
      <c r="D16" s="19"/>
      <c r="F16" s="15" t="s">
        <v>23</v>
      </c>
      <c r="G16" s="15" t="s">
        <v>24</v>
      </c>
      <c r="H16" s="10" t="s">
        <v>25</v>
      </c>
    </row>
    <row r="17" spans="3:8" s="4" customFormat="1" ht="16.2" thickBot="1" x14ac:dyDescent="0.35">
      <c r="D17" s="19"/>
      <c r="F17" s="15" t="s">
        <v>26</v>
      </c>
      <c r="G17" s="15" t="s">
        <v>27</v>
      </c>
      <c r="H17" s="10" t="s">
        <v>28</v>
      </c>
    </row>
    <row r="18" spans="3:8" s="4" customFormat="1" ht="16.2" thickBot="1" x14ac:dyDescent="0.35">
      <c r="C18" s="7"/>
      <c r="D18" s="19"/>
      <c r="F18" s="15" t="s">
        <v>29</v>
      </c>
      <c r="G18" s="15" t="s">
        <v>30</v>
      </c>
      <c r="H18" s="10" t="s">
        <v>31</v>
      </c>
    </row>
    <row r="19" spans="3:8" s="4" customFormat="1" ht="16.2" thickBot="1" x14ac:dyDescent="0.35">
      <c r="D19" s="19"/>
      <c r="F19" s="15" t="s">
        <v>32</v>
      </c>
      <c r="G19" s="15" t="s">
        <v>33</v>
      </c>
      <c r="H19" s="10" t="s">
        <v>34</v>
      </c>
    </row>
    <row r="20" spans="3:8" s="4" customFormat="1" ht="31.8" thickBot="1" x14ac:dyDescent="0.35">
      <c r="D20" s="19"/>
      <c r="F20" s="15" t="s">
        <v>35</v>
      </c>
      <c r="G20" s="15" t="s">
        <v>36</v>
      </c>
      <c r="H20" s="10" t="s">
        <v>37</v>
      </c>
    </row>
    <row r="21" spans="3:8" s="4" customFormat="1" ht="31.8" thickBot="1" x14ac:dyDescent="0.35">
      <c r="D21" s="19"/>
      <c r="F21" s="15" t="s">
        <v>38</v>
      </c>
      <c r="G21" s="15" t="s">
        <v>39</v>
      </c>
      <c r="H21" s="10" t="s">
        <v>40</v>
      </c>
    </row>
    <row r="22" spans="3:8" s="4" customFormat="1" ht="16.2" thickBot="1" x14ac:dyDescent="0.35">
      <c r="D22" s="19"/>
      <c r="F22" s="15" t="s">
        <v>41</v>
      </c>
      <c r="G22" s="15" t="s">
        <v>41</v>
      </c>
      <c r="H22" s="10" t="s">
        <v>42</v>
      </c>
    </row>
    <row r="23" spans="3:8" s="4" customFormat="1" ht="16.2" thickBot="1" x14ac:dyDescent="0.35">
      <c r="D23" s="19"/>
      <c r="F23" s="16" t="s">
        <v>43</v>
      </c>
      <c r="G23" s="16" t="s">
        <v>44</v>
      </c>
      <c r="H23" s="11" t="s">
        <v>45</v>
      </c>
    </row>
    <row r="24" spans="3:8" s="4" customFormat="1" ht="31.8" thickBot="1" x14ac:dyDescent="0.35">
      <c r="D24" s="19"/>
      <c r="F24" s="16" t="s">
        <v>46</v>
      </c>
      <c r="G24" s="16" t="s">
        <v>46</v>
      </c>
      <c r="H24" s="11" t="s">
        <v>47</v>
      </c>
    </row>
    <row r="25" spans="3:8" s="4" customFormat="1" ht="31.8" thickBot="1" x14ac:dyDescent="0.35">
      <c r="D25" s="19"/>
      <c r="F25" s="17" t="s">
        <v>48</v>
      </c>
      <c r="G25" s="17" t="s">
        <v>49</v>
      </c>
      <c r="H25" s="12" t="s">
        <v>50</v>
      </c>
    </row>
    <row r="26" spans="3:8" s="4" customFormat="1" ht="31.8" thickBot="1" x14ac:dyDescent="0.35">
      <c r="D26" s="19"/>
      <c r="F26" s="17" t="s">
        <v>51</v>
      </c>
      <c r="G26" s="17" t="s">
        <v>52</v>
      </c>
      <c r="H26" s="12" t="s">
        <v>53</v>
      </c>
    </row>
    <row r="27" spans="3:8" s="4" customFormat="1" ht="16.2" thickBot="1" x14ac:dyDescent="0.35">
      <c r="D27" s="19"/>
      <c r="F27" s="17" t="s">
        <v>54</v>
      </c>
      <c r="G27" s="17" t="s">
        <v>55</v>
      </c>
      <c r="H27" s="12" t="s">
        <v>56</v>
      </c>
    </row>
    <row r="28" spans="3:8" s="4" customFormat="1" ht="31.8" thickBot="1" x14ac:dyDescent="0.35">
      <c r="D28" s="19"/>
      <c r="F28" s="17" t="s">
        <v>57</v>
      </c>
      <c r="G28" s="17" t="s">
        <v>57</v>
      </c>
      <c r="H28" s="12" t="s">
        <v>58</v>
      </c>
    </row>
    <row r="29" spans="3:8" s="4" customFormat="1" x14ac:dyDescent="0.3">
      <c r="D29" s="19"/>
      <c r="F29" s="22" t="s">
        <v>59</v>
      </c>
      <c r="G29" s="22" t="s">
        <v>59</v>
      </c>
      <c r="H29" s="23" t="s">
        <v>60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40AD5-2A86-4C96-AA30-3B35ECECFC10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H11" sqref="H11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4" width="8.33203125" customWidth="1"/>
    <col min="5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13.5</v>
      </c>
      <c r="B9" s="26" t="s">
        <v>33</v>
      </c>
      <c r="C9" s="26" t="s">
        <v>34</v>
      </c>
      <c r="F9">
        <v>7</v>
      </c>
      <c r="G9">
        <v>5</v>
      </c>
      <c r="H9">
        <v>1.5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1</v>
      </c>
      <c r="B13" s="26" t="s">
        <v>44</v>
      </c>
      <c r="C13" s="26" t="s">
        <v>45</v>
      </c>
      <c r="H13">
        <v>1</v>
      </c>
    </row>
    <row r="14" spans="1:34" ht="28.8" x14ac:dyDescent="0.3">
      <c r="A14">
        <f t="shared" si="0"/>
        <v>7</v>
      </c>
      <c r="B14" s="26" t="s">
        <v>46</v>
      </c>
      <c r="C14" s="26" t="s">
        <v>47</v>
      </c>
      <c r="F14">
        <v>1</v>
      </c>
      <c r="G14">
        <v>2</v>
      </c>
      <c r="H14">
        <v>4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1.5</v>
      </c>
      <c r="B16" s="26" t="s">
        <v>52</v>
      </c>
      <c r="C16" s="26" t="s">
        <v>53</v>
      </c>
      <c r="H16">
        <v>1.5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2.5</v>
      </c>
      <c r="B18" s="26" t="s">
        <v>57</v>
      </c>
      <c r="C18" s="26" t="s">
        <v>58</v>
      </c>
      <c r="F18">
        <v>0.5</v>
      </c>
      <c r="G18">
        <v>1.5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8.5</v>
      </c>
      <c r="G20">
        <f t="shared" si="1"/>
        <v>8.5</v>
      </c>
      <c r="H20">
        <f t="shared" si="1"/>
        <v>8.5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1FA7E-24FE-4727-A6DC-79FCEBB5F80E}">
  <dimension ref="A1:AH20"/>
  <sheetViews>
    <sheetView topLeftCell="B1" workbookViewId="0">
      <pane xSplit="2" ySplit="1" topLeftCell="E10" activePane="bottomRight" state="frozen"/>
      <selection pane="topRight" activeCell="D1" sqref="D1"/>
      <selection pane="bottomLeft" activeCell="B2" sqref="B2"/>
      <selection pane="bottomRight" activeCell="E10" sqref="E10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22.5</v>
      </c>
      <c r="B2" s="26" t="s">
        <v>8</v>
      </c>
      <c r="C2" s="26" t="s">
        <v>9</v>
      </c>
      <c r="F2">
        <v>7.5</v>
      </c>
      <c r="G2">
        <v>7</v>
      </c>
      <c r="H2">
        <v>8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1</v>
      </c>
      <c r="B13" s="26" t="s">
        <v>44</v>
      </c>
      <c r="C13" s="26" t="s">
        <v>45</v>
      </c>
      <c r="H13">
        <v>1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2.5</v>
      </c>
      <c r="B18" s="26" t="s">
        <v>57</v>
      </c>
      <c r="C18" s="26" t="s">
        <v>58</v>
      </c>
      <c r="F18">
        <v>0.5</v>
      </c>
      <c r="G18">
        <v>1.5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8.5</v>
      </c>
      <c r="H20">
        <f t="shared" si="1"/>
        <v>9.5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24A2-5C35-43BC-8A33-14D5775919F6}">
  <dimension ref="A1:AH20"/>
  <sheetViews>
    <sheetView topLeftCell="B1" workbookViewId="0">
      <pane xSplit="2" ySplit="1" topLeftCell="D16" activePane="bottomRight" state="frozen"/>
      <selection pane="topRight" activeCell="D1" sqref="D1"/>
      <selection pane="bottomLeft" activeCell="B2" sqref="B2"/>
      <selection pane="bottomRight" activeCell="I2" sqref="I2:I19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2</v>
      </c>
      <c r="B2" s="26" t="s">
        <v>8</v>
      </c>
      <c r="C2" s="26" t="s">
        <v>9</v>
      </c>
      <c r="G2">
        <v>1</v>
      </c>
      <c r="H2">
        <v>1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5</v>
      </c>
      <c r="B4" s="26" t="s">
        <v>16</v>
      </c>
      <c r="C4" s="26" t="s">
        <v>17</v>
      </c>
      <c r="F4">
        <v>3</v>
      </c>
      <c r="G4">
        <v>1</v>
      </c>
      <c r="H4">
        <v>1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3</v>
      </c>
      <c r="B12" s="26" t="s">
        <v>41</v>
      </c>
      <c r="C12" s="26" t="s">
        <v>42</v>
      </c>
      <c r="H12">
        <v>3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2</v>
      </c>
      <c r="B14" s="26" t="s">
        <v>46</v>
      </c>
      <c r="C14" s="26" t="s">
        <v>47</v>
      </c>
      <c r="G14">
        <v>1</v>
      </c>
      <c r="H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12.5</v>
      </c>
      <c r="B16" s="26" t="s">
        <v>52</v>
      </c>
      <c r="C16" s="26" t="s">
        <v>53</v>
      </c>
      <c r="F16">
        <v>4.5</v>
      </c>
      <c r="G16">
        <v>6</v>
      </c>
      <c r="H16">
        <v>2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2.5</v>
      </c>
      <c r="B18" s="26" t="s">
        <v>57</v>
      </c>
      <c r="C18" s="26" t="s">
        <v>58</v>
      </c>
      <c r="F18">
        <v>0.5</v>
      </c>
      <c r="G18">
        <v>1.5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10.5</v>
      </c>
      <c r="H20">
        <f t="shared" si="1"/>
        <v>8.5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1931-71B3-4F3D-9047-62ED04D8E534}">
  <dimension ref="A1:AH20"/>
  <sheetViews>
    <sheetView topLeftCell="B1" workbookViewId="0">
      <pane xSplit="2" ySplit="1" topLeftCell="D13" activePane="bottomRight" state="frozen"/>
      <selection pane="topRight" activeCell="D1" sqref="D1"/>
      <selection pane="bottomLeft" activeCell="B2" sqref="B2"/>
      <selection pane="bottomRight" activeCell="I11" sqref="I11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35</v>
      </c>
      <c r="B9" s="26" t="s">
        <v>33</v>
      </c>
      <c r="C9" s="26" t="s">
        <v>34</v>
      </c>
      <c r="D9">
        <v>2</v>
      </c>
      <c r="F9">
        <v>11</v>
      </c>
      <c r="G9">
        <v>10</v>
      </c>
      <c r="H9">
        <v>12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2.5</v>
      </c>
      <c r="B18" s="26" t="s">
        <v>57</v>
      </c>
      <c r="C18" s="26" t="s">
        <v>58</v>
      </c>
      <c r="F18">
        <v>0.5</v>
      </c>
      <c r="G18">
        <v>0.5</v>
      </c>
      <c r="H18">
        <v>1.5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2</v>
      </c>
      <c r="E20">
        <f t="shared" si="1"/>
        <v>0</v>
      </c>
      <c r="F20">
        <f t="shared" si="1"/>
        <v>11.5</v>
      </c>
      <c r="G20">
        <f t="shared" si="1"/>
        <v>10.5</v>
      </c>
      <c r="H20">
        <f t="shared" si="1"/>
        <v>13.5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B6F7BDF-FB4E-4E41-A392-3336FA7F2B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97DA133-663F-43D7-A8EF-9A91885F910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meta</vt:lpstr>
      <vt:lpstr>Membr 45</vt:lpstr>
      <vt:lpstr>Membr 55</vt:lpstr>
      <vt:lpstr>Membr 60</vt:lpstr>
      <vt:lpstr>Membr 95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2020-08-06T12:43:34Z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